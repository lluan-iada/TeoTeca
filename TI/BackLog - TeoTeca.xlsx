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dal\Projeto-Individual\TeoTeca\TI\"/>
    </mc:Choice>
  </mc:AlternateContent>
  <xr:revisionPtr revIDLastSave="0" documentId="8_{B91BA02C-C4B6-47B9-ACC6-66B2056DFFA7}" xr6:coauthVersionLast="47" xr6:coauthVersionMax="47" xr10:uidLastSave="{00000000-0000-0000-0000-000000000000}"/>
  <bookViews>
    <workbookView xWindow="-108" yWindow="-108" windowWidth="23256" windowHeight="12456" xr2:uid="{17DC9048-F1D0-420D-80ED-591DA9E5DA65}"/>
  </bookViews>
  <sheets>
    <sheet name="Backlog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3" l="1"/>
  <c r="I22" i="3"/>
  <c r="F22" i="3"/>
  <c r="I21" i="3"/>
  <c r="F21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3" i="3"/>
  <c r="I24" i="3"/>
  <c r="I3" i="3"/>
  <c r="F24" i="3" l="1"/>
  <c r="F23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3" i="3"/>
  <c r="M8" i="3" l="1"/>
  <c r="M9" i="3"/>
  <c r="N9" i="3" s="1"/>
  <c r="N6" i="3"/>
  <c r="O7" i="3"/>
  <c r="O6" i="3" s="1"/>
  <c r="M7" i="3"/>
  <c r="N7" i="3" s="1"/>
  <c r="O9" i="3"/>
  <c r="O8" i="3"/>
  <c r="N8" i="3"/>
  <c r="P9" i="3" l="1"/>
  <c r="P8" i="3"/>
  <c r="P6" i="3"/>
  <c r="P7" i="3"/>
</calcChain>
</file>

<file path=xl/sharedStrings.xml><?xml version="1.0" encoding="utf-8"?>
<sst xmlns="http://schemas.openxmlformats.org/spreadsheetml/2006/main" count="140" uniqueCount="74">
  <si>
    <t>REQUISITOS</t>
  </si>
  <si>
    <t>DESCRIÇÃO</t>
  </si>
  <si>
    <t>CLASSIFICAÇÃO</t>
  </si>
  <si>
    <t>TAMANHO</t>
  </si>
  <si>
    <t>Tam(#)</t>
  </si>
  <si>
    <t>PRIORIDADE</t>
  </si>
  <si>
    <t>STATUS</t>
  </si>
  <si>
    <t>FINALIZADO</t>
  </si>
  <si>
    <t>Fazer a prototipagem do site institucional</t>
  </si>
  <si>
    <t>Essencial</t>
  </si>
  <si>
    <t>M</t>
  </si>
  <si>
    <t>SP1</t>
  </si>
  <si>
    <t>Criar o Github do projeto</t>
  </si>
  <si>
    <t>P</t>
  </si>
  <si>
    <t xml:space="preserve">Configurar o Trello </t>
  </si>
  <si>
    <t>G</t>
  </si>
  <si>
    <t>GG</t>
  </si>
  <si>
    <t>Criar as tabelas no MySQL</t>
  </si>
  <si>
    <t>SP2</t>
  </si>
  <si>
    <t>Criar Tela de login</t>
  </si>
  <si>
    <t>Desenvolver Tela Cadastro Cliente</t>
  </si>
  <si>
    <t>Desejavel</t>
  </si>
  <si>
    <t>Criar Diagrama de solução</t>
  </si>
  <si>
    <t>Importante</t>
  </si>
  <si>
    <t>Conectar MySQL na VM</t>
  </si>
  <si>
    <t>Estilizar página Home do Site Institucional</t>
  </si>
  <si>
    <t>Estilizar tela de Login do Site Institucional</t>
  </si>
  <si>
    <t>SP3</t>
  </si>
  <si>
    <t>Configurar API Web Data Viz</t>
  </si>
  <si>
    <t xml:space="preserve"> SPRINT</t>
  </si>
  <si>
    <t>Criar Diagrama Visão de Negócio</t>
  </si>
  <si>
    <t>Desenvolver documentação do projeto no Word, adicionando informações principais (Contexto, Objetivo, Justificativa etc..)</t>
  </si>
  <si>
    <t>Configurar API intermediária para a conexão do software e banco de dados</t>
  </si>
  <si>
    <t>Criar Documentação do Projeto</t>
  </si>
  <si>
    <t>Desenvolver Página com Quiz</t>
  </si>
  <si>
    <t xml:space="preserve">Desenvolver Página da Dashboard </t>
  </si>
  <si>
    <t>Planejado</t>
  </si>
  <si>
    <t>Desenvolver Site institucional (Home)</t>
  </si>
  <si>
    <t>Desenvolver a Navegação entre páginas</t>
  </si>
  <si>
    <t>Armazenamento MySQL</t>
  </si>
  <si>
    <t>Desenvolver Responsividade no Site</t>
  </si>
  <si>
    <t>SP4</t>
  </si>
  <si>
    <t>O site deve se adaptar adequadamente a dispositivos desktop e mobile</t>
  </si>
  <si>
    <t>O sistema deve registrar no banco de dados os dados do cadastro e demais informações necessárias</t>
  </si>
  <si>
    <t>Desenvolver o conjunto de páginas públicas do website do projeto (Home, Sobre, Cadastro, Login)</t>
  </si>
  <si>
    <t>O sistema deve permitir navegação entre Home, Login, Dashboard e Quiz</t>
  </si>
  <si>
    <t>O sistema deve exibir uma página de quiz simples com perguntas pré-cadastradas e feedback básico</t>
  </si>
  <si>
    <t>Desenvolver a área restrita e funcional do sistema, acessível após o login, onde será possivel verificar as métricas, baseadas nos quizes feitos</t>
  </si>
  <si>
    <t>O sistema deve fornecer uma interface para o registro de novos usuários, coletando os dados necessários e persistindo-os no banco de dados</t>
  </si>
  <si>
    <t>O sistema deve fornecer uma interface de autenticação que valide as credenciais (e-mail e senha) do usuário contra os registros do banco de dados</t>
  </si>
  <si>
    <t>Criar um protótipo de alta fidelidade da interface do usuário (UI) no Figma para servir como guia visual para o desenvolvimento do frontend</t>
  </si>
  <si>
    <t>Estilizar tela de Cadastro do Site Institucional</t>
  </si>
  <si>
    <t>Testar comunicação entre o banco e a aplicação</t>
  </si>
  <si>
    <t>Implementar no MySQL o esquema do banco de dados projetado para o sistema, criando todas as tabelas e relacionamentos lógicos necessários</t>
  </si>
  <si>
    <t>Desenvolver uma representação gráfica da visão de negócios, voltada para a solução do negócio</t>
  </si>
  <si>
    <t>Desenvolver uma representação gráfica da arquitetura da solução, descrevendo o fluxo de dados e a interação entre os componentes</t>
  </si>
  <si>
    <t>Estruturar o quadro de gestão ágil do projeto no Trello para organizar e rastrear o trabalho da sprint</t>
  </si>
  <si>
    <t>Configurar o repositório central de código no GitHub para versionamento do projeto</t>
  </si>
  <si>
    <t>Aplicar o CSS na área de Cadastro para que ela corresponda ao layout definido no protótipo do Figma</t>
  </si>
  <si>
    <t>Aplicar o CSS na página de Login para que ela corresponda ao layout definido no protótipo do Figma</t>
  </si>
  <si>
    <t>Aplicar o CSS na página Home para que ela corresponda ao layout definido no protótipo do Figma</t>
  </si>
  <si>
    <t>Pontos Fibonacci</t>
  </si>
  <si>
    <t>Entregue</t>
  </si>
  <si>
    <t>Pendente</t>
  </si>
  <si>
    <t>Total</t>
  </si>
  <si>
    <t>Criar slides para apresentação</t>
  </si>
  <si>
    <t>Criação de slides no Canva para apresentação do projeto individual</t>
  </si>
  <si>
    <t>Apresentar Projeto Individual</t>
  </si>
  <si>
    <t>Apresentação do Projeto individual para a banca avaliadora</t>
  </si>
  <si>
    <t>Aplicar o CSS na página do Quiz para que ela corresponda ao layout definido no protótipo do Figma</t>
  </si>
  <si>
    <t>Estilizar página do Quiz</t>
  </si>
  <si>
    <t>Estilizar página da Dahboard</t>
  </si>
  <si>
    <t>Aplicar o CSS na página lob da Dashboard</t>
  </si>
  <si>
    <t>Em andamento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</si>
</sst>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rial"/>
    </font>
    <font>
      <sz val="12"/>
      <color theme="0"/>
      <name val="Arial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9C5700"/>
      <name val="Arial"/>
    </font>
  </fonts>
  <fills count="10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36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EB9C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0" borderId="0" xfId="0" applyFont="1"/>
    <xf numFmtId="0" fontId="0" fillId="0" borderId="3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0" fillId="5" borderId="0" xfId="0" applyFill="1"/>
    <xf numFmtId="0" fontId="7" fillId="2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6" fillId="7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4" xfId="0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22">
    <dxf>
      <font>
        <color theme="1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7" tint="0.79998168889431442"/>
        </patternFill>
      </fill>
    </dxf>
    <dxf>
      <font>
        <color theme="1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7" tint="0.79998168889431442"/>
        </patternFill>
      </fill>
    </dxf>
    <dxf>
      <font>
        <color theme="1"/>
      </font>
      <fill>
        <patternFill patternType="solid">
          <bgColor theme="7" tint="0.79998168889431442"/>
        </patternFill>
      </fill>
    </dxf>
    <dxf>
      <font>
        <color theme="1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7" tint="0.79998168889431442"/>
        </patternFill>
      </fill>
    </dxf>
    <dxf>
      <font>
        <color theme="1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7" tint="0.79998168889431442"/>
        </patternFill>
      </fill>
    </dxf>
    <dxf>
      <font>
        <color theme="1"/>
      </font>
      <fill>
        <patternFill patternType="solid">
          <bgColor theme="7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de 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790939933240999E-2"/>
          <c:y val="0.1370217620728133"/>
          <c:w val="0.93930084721402385"/>
          <c:h val="0.7177280665928969"/>
        </c:manualLayout>
      </c:layout>
      <c:lineChart>
        <c:grouping val="standard"/>
        <c:varyColors val="0"/>
        <c:ser>
          <c:idx val="1"/>
          <c:order val="0"/>
          <c:tx>
            <c:strRef>
              <c:f>Backlog!$N$5</c:f>
              <c:strCache>
                <c:ptCount val="1"/>
                <c:pt idx="0">
                  <c:v>Planejado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cat>
            <c:strRef>
              <c:f>Backlog!$L$6:$L$10</c:f>
              <c:strCache>
                <c:ptCount val="5"/>
                <c:pt idx="0">
                  <c:v>Total</c:v>
                </c:pt>
                <c:pt idx="1">
                  <c:v>SP1</c:v>
                </c:pt>
                <c:pt idx="2">
                  <c:v>SP2</c:v>
                </c:pt>
                <c:pt idx="3">
                  <c:v>SP3</c:v>
                </c:pt>
                <c:pt idx="4">
                  <c:v>SP4</c:v>
                </c:pt>
              </c:strCache>
            </c:strRef>
          </c:cat>
          <c:val>
            <c:numRef>
              <c:f>Backlog!$N$6:$N$9</c:f>
              <c:numCache>
                <c:formatCode>General</c:formatCode>
                <c:ptCount val="4"/>
                <c:pt idx="0">
                  <c:v>262</c:v>
                </c:pt>
                <c:pt idx="1">
                  <c:v>129</c:v>
                </c:pt>
                <c:pt idx="2">
                  <c:v>44</c:v>
                </c:pt>
                <c:pt idx="3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80-4EC6-9A6D-EDFB1AD1F5AE}"/>
            </c:ext>
          </c:extLst>
        </c:ser>
        <c:ser>
          <c:idx val="2"/>
          <c:order val="1"/>
          <c:tx>
            <c:strRef>
              <c:f>Backlog!$O$5</c:f>
              <c:strCache>
                <c:ptCount val="1"/>
                <c:pt idx="0">
                  <c:v>Entregue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cat>
            <c:strRef>
              <c:f>Backlog!$L$6:$L$10</c:f>
              <c:strCache>
                <c:ptCount val="5"/>
                <c:pt idx="0">
                  <c:v>Total</c:v>
                </c:pt>
                <c:pt idx="1">
                  <c:v>SP1</c:v>
                </c:pt>
                <c:pt idx="2">
                  <c:v>SP2</c:v>
                </c:pt>
                <c:pt idx="3">
                  <c:v>SP3</c:v>
                </c:pt>
                <c:pt idx="4">
                  <c:v>SP4</c:v>
                </c:pt>
              </c:strCache>
            </c:strRef>
          </c:cat>
          <c:val>
            <c:numRef>
              <c:f>Backlog!$O$6:$O$9</c:f>
              <c:numCache>
                <c:formatCode>General</c:formatCode>
                <c:ptCount val="4"/>
                <c:pt idx="0">
                  <c:v>225</c:v>
                </c:pt>
                <c:pt idx="1">
                  <c:v>129</c:v>
                </c:pt>
                <c:pt idx="2">
                  <c:v>44</c:v>
                </c:pt>
                <c:pt idx="3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80-4EC6-9A6D-EDFB1AD1F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9965448"/>
        <c:axId val="1219967496"/>
      </c:lineChart>
      <c:catAx>
        <c:axId val="1219965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967496"/>
        <c:crosses val="autoZero"/>
        <c:auto val="1"/>
        <c:lblAlgn val="ctr"/>
        <c:lblOffset val="100"/>
        <c:noMultiLvlLbl val="0"/>
      </c:catAx>
      <c:valAx>
        <c:axId val="1219967496"/>
        <c:scaling>
          <c:orientation val="minMax"/>
          <c:max val="29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9965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284951</xdr:colOff>
      <xdr:row>1</xdr:row>
      <xdr:rowOff>176093</xdr:rowOff>
    </xdr:from>
    <xdr:to>
      <xdr:col>27</xdr:col>
      <xdr:colOff>241407</xdr:colOff>
      <xdr:row>17</xdr:row>
      <xdr:rowOff>43303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A4DDAA18-08F2-4DED-BAE1-B008D46B6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B2673-040F-4BD4-9F8E-B0F9E980B22C}">
  <dimension ref="B2:P36"/>
  <sheetViews>
    <sheetView tabSelected="1" topLeftCell="A3" zoomScale="70" zoomScaleNormal="70" workbookViewId="0">
      <selection activeCell="J22" sqref="J22"/>
    </sheetView>
  </sheetViews>
  <sheetFormatPr defaultRowHeight="14.4" x14ac:dyDescent="0.3"/>
  <cols>
    <col min="2" max="2" width="47" customWidth="1"/>
    <col min="3" max="3" width="147.33203125" customWidth="1"/>
    <col min="4" max="4" width="16.21875" bestFit="1" customWidth="1"/>
    <col min="5" max="5" width="10.44140625" bestFit="1" customWidth="1"/>
    <col min="7" max="7" width="12.44140625" bestFit="1" customWidth="1"/>
    <col min="8" max="8" width="8.109375" bestFit="1" customWidth="1"/>
    <col min="9" max="9" width="15.77734375" bestFit="1" customWidth="1"/>
    <col min="10" max="10" width="12.33203125" bestFit="1" customWidth="1"/>
  </cols>
  <sheetData>
    <row r="2" spans="2:16" ht="15.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29</v>
      </c>
      <c r="I2" s="1" t="s">
        <v>6</v>
      </c>
      <c r="J2" s="1" t="s">
        <v>7</v>
      </c>
    </row>
    <row r="3" spans="2:16" ht="15" x14ac:dyDescent="0.3">
      <c r="B3" s="5" t="s">
        <v>8</v>
      </c>
      <c r="C3" s="6" t="s">
        <v>50</v>
      </c>
      <c r="D3" s="7" t="s">
        <v>23</v>
      </c>
      <c r="E3" s="8" t="s">
        <v>13</v>
      </c>
      <c r="F3" s="8">
        <f>IF(E3="PP",1,
IF(E3="P",3,
IF(E3="M",5,
IF(E3="G",13,
IF(E3="GG",21,"")))))</f>
        <v>3</v>
      </c>
      <c r="G3" s="8">
        <v>1</v>
      </c>
      <c r="H3" s="8" t="s">
        <v>11</v>
      </c>
      <c r="I3" s="8" t="str">
        <f>IF(J3=TRUE,"Finalizado",IF(H3="SP3","Em andamento","Planejado"))</f>
        <v>Finalizado</v>
      </c>
      <c r="J3" s="3" t="b">
        <v>1</v>
      </c>
    </row>
    <row r="4" spans="2:16" ht="38.4" customHeight="1" x14ac:dyDescent="0.3">
      <c r="B4" s="5" t="s">
        <v>19</v>
      </c>
      <c r="C4" s="6" t="s">
        <v>49</v>
      </c>
      <c r="D4" s="5" t="s">
        <v>9</v>
      </c>
      <c r="E4" s="5" t="s">
        <v>15</v>
      </c>
      <c r="F4" s="5">
        <v>13</v>
      </c>
      <c r="G4" s="5">
        <v>1</v>
      </c>
      <c r="H4" s="5" t="s">
        <v>11</v>
      </c>
      <c r="I4" s="8" t="str">
        <f t="shared" ref="I4:I24" si="0">IF(J4=TRUE,"Finalizado",IF(H4="SP3","Em andamento","Planejado"))</f>
        <v>Finalizado</v>
      </c>
      <c r="J4" s="3" t="b">
        <v>1</v>
      </c>
    </row>
    <row r="5" spans="2:16" ht="15.6" x14ac:dyDescent="0.3">
      <c r="B5" s="5" t="s">
        <v>20</v>
      </c>
      <c r="C5" s="5" t="s">
        <v>48</v>
      </c>
      <c r="D5" s="5" t="s">
        <v>9</v>
      </c>
      <c r="E5" s="5" t="s">
        <v>15</v>
      </c>
      <c r="F5" s="5">
        <f t="shared" ref="F5:F14" si="1">IF(E5="PP",1,
IF(E5="P",3,
IF(E5="M",5,
IF(E5="G",13,
IF(E5="GG",21,"")))))</f>
        <v>13</v>
      </c>
      <c r="G5" s="5">
        <v>1</v>
      </c>
      <c r="H5" s="5" t="s">
        <v>11</v>
      </c>
      <c r="I5" s="8" t="str">
        <f t="shared" si="0"/>
        <v>Finalizado</v>
      </c>
      <c r="J5" s="3" t="b">
        <v>1</v>
      </c>
      <c r="L5" s="10"/>
      <c r="M5" s="11" t="s">
        <v>61</v>
      </c>
      <c r="N5" s="11" t="s">
        <v>36</v>
      </c>
      <c r="O5" s="12" t="s">
        <v>62</v>
      </c>
      <c r="P5" s="13" t="s">
        <v>63</v>
      </c>
    </row>
    <row r="6" spans="2:16" ht="15.6" x14ac:dyDescent="0.3">
      <c r="B6" s="5" t="s">
        <v>34</v>
      </c>
      <c r="C6" s="5" t="s">
        <v>46</v>
      </c>
      <c r="D6" s="5" t="s">
        <v>9</v>
      </c>
      <c r="E6" s="5" t="s">
        <v>10</v>
      </c>
      <c r="F6" s="5">
        <f t="shared" si="1"/>
        <v>5</v>
      </c>
      <c r="G6" s="5">
        <v>2</v>
      </c>
      <c r="H6" s="5" t="s">
        <v>18</v>
      </c>
      <c r="I6" s="8" t="str">
        <f t="shared" si="0"/>
        <v>Finalizado</v>
      </c>
      <c r="J6" s="3" t="b">
        <v>1</v>
      </c>
      <c r="L6" s="14" t="s">
        <v>64</v>
      </c>
      <c r="M6" s="15">
        <f>SUM(F3:F26)</f>
        <v>262</v>
      </c>
      <c r="N6" s="15">
        <f>M6</f>
        <v>262</v>
      </c>
      <c r="O6" s="15">
        <f>SUM(O7:O9)</f>
        <v>225</v>
      </c>
      <c r="P6" s="15">
        <f>N6-O6</f>
        <v>37</v>
      </c>
    </row>
    <row r="7" spans="2:16" ht="15.6" x14ac:dyDescent="0.3">
      <c r="B7" s="5" t="s">
        <v>35</v>
      </c>
      <c r="C7" s="5" t="s">
        <v>47</v>
      </c>
      <c r="D7" s="5" t="s">
        <v>9</v>
      </c>
      <c r="E7" s="5" t="s">
        <v>15</v>
      </c>
      <c r="F7" s="5">
        <f t="shared" si="1"/>
        <v>13</v>
      </c>
      <c r="G7" s="5">
        <v>2</v>
      </c>
      <c r="H7" s="5" t="s">
        <v>18</v>
      </c>
      <c r="I7" s="8" t="str">
        <f t="shared" si="0"/>
        <v>Finalizado</v>
      </c>
      <c r="J7" s="3" t="b">
        <v>1</v>
      </c>
      <c r="L7" s="11" t="s">
        <v>11</v>
      </c>
      <c r="M7" s="16">
        <f>SUMIF($H:$H,L7,$F:$F)</f>
        <v>129</v>
      </c>
      <c r="N7" s="15">
        <f>M7</f>
        <v>129</v>
      </c>
      <c r="O7" s="15">
        <f>SUMIFS($F:$F,$H:$H,L7,$I:$I,"Finalizado")</f>
        <v>129</v>
      </c>
      <c r="P7" s="15">
        <f>N7-O7</f>
        <v>0</v>
      </c>
    </row>
    <row r="8" spans="2:16" ht="15.6" x14ac:dyDescent="0.3">
      <c r="B8" s="5" t="s">
        <v>37</v>
      </c>
      <c r="C8" s="5" t="s">
        <v>44</v>
      </c>
      <c r="D8" s="5" t="s">
        <v>9</v>
      </c>
      <c r="E8" s="5" t="s">
        <v>10</v>
      </c>
      <c r="F8" s="5">
        <f t="shared" si="1"/>
        <v>5</v>
      </c>
      <c r="G8" s="5">
        <v>1</v>
      </c>
      <c r="H8" s="5" t="s">
        <v>11</v>
      </c>
      <c r="I8" s="8" t="str">
        <f t="shared" si="0"/>
        <v>Finalizado</v>
      </c>
      <c r="J8" s="3" t="b">
        <v>1</v>
      </c>
      <c r="L8" s="11" t="s">
        <v>18</v>
      </c>
      <c r="M8" s="16">
        <f>SUMIF($H:$H,L8,$F:$F)</f>
        <v>44</v>
      </c>
      <c r="N8" s="15">
        <f>M8</f>
        <v>44</v>
      </c>
      <c r="O8" s="15">
        <f>SUMIFS($F:$F,$H:$H,L8,$I:$I,"Finalizado")</f>
        <v>44</v>
      </c>
      <c r="P8" s="15">
        <f>N8-O8</f>
        <v>0</v>
      </c>
    </row>
    <row r="9" spans="2:16" ht="15.6" x14ac:dyDescent="0.3">
      <c r="B9" s="5" t="s">
        <v>38</v>
      </c>
      <c r="C9" s="5" t="s">
        <v>45</v>
      </c>
      <c r="D9" s="5" t="s">
        <v>9</v>
      </c>
      <c r="E9" s="5" t="s">
        <v>10</v>
      </c>
      <c r="F9" s="5">
        <f t="shared" si="1"/>
        <v>5</v>
      </c>
      <c r="G9" s="5">
        <v>1</v>
      </c>
      <c r="H9" s="5" t="s">
        <v>11</v>
      </c>
      <c r="I9" s="8" t="str">
        <f t="shared" si="0"/>
        <v>Finalizado</v>
      </c>
      <c r="J9" s="3" t="b">
        <v>1</v>
      </c>
      <c r="L9" s="11" t="s">
        <v>27</v>
      </c>
      <c r="M9" s="15">
        <f>SUMIF($H:$H,L9,$F:$F)</f>
        <v>89</v>
      </c>
      <c r="N9" s="15">
        <f>M9</f>
        <v>89</v>
      </c>
      <c r="O9" s="15">
        <f>SUMIFS($F:$F,$H:$H,L9,$I:$I,"Finalizado")</f>
        <v>52</v>
      </c>
      <c r="P9" s="15">
        <f>N9-O9</f>
        <v>37</v>
      </c>
    </row>
    <row r="10" spans="2:16" ht="15.6" x14ac:dyDescent="0.3">
      <c r="B10" s="5" t="s">
        <v>39</v>
      </c>
      <c r="C10" s="5" t="s">
        <v>43</v>
      </c>
      <c r="D10" s="5" t="s">
        <v>9</v>
      </c>
      <c r="E10" s="5" t="s">
        <v>15</v>
      </c>
      <c r="F10" s="5">
        <f t="shared" si="1"/>
        <v>13</v>
      </c>
      <c r="G10" s="5">
        <v>2</v>
      </c>
      <c r="H10" s="5" t="s">
        <v>18</v>
      </c>
      <c r="I10" s="8" t="str">
        <f t="shared" si="0"/>
        <v>Finalizado</v>
      </c>
      <c r="J10" s="3" t="b">
        <v>1</v>
      </c>
      <c r="L10" s="11" t="s">
        <v>41</v>
      </c>
      <c r="M10" s="15">
        <v>0</v>
      </c>
      <c r="N10" s="15">
        <v>0</v>
      </c>
      <c r="O10" s="15">
        <v>0</v>
      </c>
      <c r="P10" s="15">
        <v>0</v>
      </c>
    </row>
    <row r="11" spans="2:16" ht="15" x14ac:dyDescent="0.3">
      <c r="B11" s="9" t="s">
        <v>28</v>
      </c>
      <c r="C11" s="9" t="s">
        <v>32</v>
      </c>
      <c r="D11" s="5" t="s">
        <v>9</v>
      </c>
      <c r="E11" s="5" t="s">
        <v>16</v>
      </c>
      <c r="F11" s="5">
        <f t="shared" si="1"/>
        <v>21</v>
      </c>
      <c r="G11" s="5">
        <v>1</v>
      </c>
      <c r="H11" s="5" t="s">
        <v>27</v>
      </c>
      <c r="I11" s="8" t="str">
        <f t="shared" si="0"/>
        <v>Finalizado</v>
      </c>
      <c r="J11" s="3" t="b">
        <v>1</v>
      </c>
    </row>
    <row r="12" spans="2:16" ht="15" x14ac:dyDescent="0.3">
      <c r="B12" s="9" t="s">
        <v>40</v>
      </c>
      <c r="C12" s="9" t="s">
        <v>42</v>
      </c>
      <c r="D12" s="5" t="s">
        <v>21</v>
      </c>
      <c r="E12" s="5" t="s">
        <v>10</v>
      </c>
      <c r="F12" s="5">
        <f t="shared" si="1"/>
        <v>5</v>
      </c>
      <c r="G12" s="5">
        <v>3</v>
      </c>
      <c r="H12" s="5" t="s">
        <v>27</v>
      </c>
      <c r="I12" s="8" t="str">
        <f t="shared" si="0"/>
        <v>Finalizado</v>
      </c>
      <c r="J12" s="3" t="b">
        <v>1</v>
      </c>
    </row>
    <row r="13" spans="2:16" ht="15" x14ac:dyDescent="0.3">
      <c r="B13" s="9" t="s">
        <v>25</v>
      </c>
      <c r="C13" s="5" t="s">
        <v>60</v>
      </c>
      <c r="D13" s="7" t="s">
        <v>21</v>
      </c>
      <c r="E13" s="8" t="s">
        <v>16</v>
      </c>
      <c r="F13" s="8">
        <f t="shared" si="1"/>
        <v>21</v>
      </c>
      <c r="G13" s="8">
        <v>1</v>
      </c>
      <c r="H13" s="8" t="s">
        <v>11</v>
      </c>
      <c r="I13" s="8" t="str">
        <f t="shared" si="0"/>
        <v>Finalizado</v>
      </c>
      <c r="J13" s="3" t="b">
        <v>1</v>
      </c>
    </row>
    <row r="14" spans="2:16" ht="15" x14ac:dyDescent="0.3">
      <c r="B14" s="9" t="s">
        <v>26</v>
      </c>
      <c r="C14" s="5" t="s">
        <v>59</v>
      </c>
      <c r="D14" s="7" t="s">
        <v>21</v>
      </c>
      <c r="E14" s="8" t="s">
        <v>16</v>
      </c>
      <c r="F14" s="8">
        <f t="shared" si="1"/>
        <v>21</v>
      </c>
      <c r="G14" s="8">
        <v>1</v>
      </c>
      <c r="H14" s="8" t="s">
        <v>11</v>
      </c>
      <c r="I14" s="8" t="str">
        <f t="shared" si="0"/>
        <v>Finalizado</v>
      </c>
      <c r="J14" s="3" t="b">
        <v>1</v>
      </c>
    </row>
    <row r="15" spans="2:16" ht="15" x14ac:dyDescent="0.3">
      <c r="B15" s="9" t="s">
        <v>51</v>
      </c>
      <c r="C15" s="5" t="s">
        <v>58</v>
      </c>
      <c r="D15" s="7" t="s">
        <v>21</v>
      </c>
      <c r="E15" s="8" t="s">
        <v>16</v>
      </c>
      <c r="F15" s="8">
        <f t="shared" ref="F15:F24" si="2">IF(E15="PP",1,
IF(E15="P",3,
IF(E15="M",5,
IF(E15="G",13,
IF(E15="GG",21,"")))))</f>
        <v>21</v>
      </c>
      <c r="G15" s="8">
        <v>1</v>
      </c>
      <c r="H15" s="8" t="s">
        <v>11</v>
      </c>
      <c r="I15" s="8" t="str">
        <f t="shared" si="0"/>
        <v>Finalizado</v>
      </c>
      <c r="J15" s="3" t="b">
        <v>1</v>
      </c>
    </row>
    <row r="16" spans="2:16" ht="15" x14ac:dyDescent="0.3">
      <c r="B16" s="5" t="s">
        <v>12</v>
      </c>
      <c r="C16" s="8" t="s">
        <v>57</v>
      </c>
      <c r="D16" s="7" t="s">
        <v>9</v>
      </c>
      <c r="E16" s="8" t="s">
        <v>13</v>
      </c>
      <c r="F16" s="8">
        <f t="shared" si="2"/>
        <v>3</v>
      </c>
      <c r="G16" s="8">
        <v>1</v>
      </c>
      <c r="H16" s="8" t="s">
        <v>11</v>
      </c>
      <c r="I16" s="8" t="str">
        <f t="shared" si="0"/>
        <v>Finalizado</v>
      </c>
      <c r="J16" s="4" t="b">
        <v>1</v>
      </c>
    </row>
    <row r="17" spans="2:10" ht="15" x14ac:dyDescent="0.3">
      <c r="B17" s="5" t="s">
        <v>14</v>
      </c>
      <c r="C17" s="8" t="s">
        <v>56</v>
      </c>
      <c r="D17" s="7" t="s">
        <v>9</v>
      </c>
      <c r="E17" s="8" t="s">
        <v>13</v>
      </c>
      <c r="F17" s="8">
        <f t="shared" si="2"/>
        <v>3</v>
      </c>
      <c r="G17" s="8">
        <v>1</v>
      </c>
      <c r="H17" s="8" t="s">
        <v>11</v>
      </c>
      <c r="I17" s="8" t="str">
        <f t="shared" si="0"/>
        <v>Finalizado</v>
      </c>
      <c r="J17" s="4" t="b">
        <v>1</v>
      </c>
    </row>
    <row r="18" spans="2:10" ht="15" x14ac:dyDescent="0.3">
      <c r="B18" s="5" t="s">
        <v>22</v>
      </c>
      <c r="C18" s="5" t="s">
        <v>55</v>
      </c>
      <c r="D18" s="7" t="s">
        <v>23</v>
      </c>
      <c r="E18" s="8" t="s">
        <v>15</v>
      </c>
      <c r="F18" s="8">
        <f t="shared" si="2"/>
        <v>13</v>
      </c>
      <c r="G18" s="8">
        <v>2</v>
      </c>
      <c r="H18" s="8" t="s">
        <v>11</v>
      </c>
      <c r="I18" s="8" t="str">
        <f t="shared" si="0"/>
        <v>Finalizado</v>
      </c>
      <c r="J18" s="4" t="b">
        <v>1</v>
      </c>
    </row>
    <row r="19" spans="2:10" ht="15" x14ac:dyDescent="0.3">
      <c r="B19" s="5" t="s">
        <v>30</v>
      </c>
      <c r="C19" s="5" t="s">
        <v>54</v>
      </c>
      <c r="D19" s="7" t="s">
        <v>23</v>
      </c>
      <c r="E19" s="8" t="s">
        <v>10</v>
      </c>
      <c r="F19" s="8">
        <f t="shared" si="2"/>
        <v>5</v>
      </c>
      <c r="G19" s="8">
        <v>2</v>
      </c>
      <c r="H19" s="8" t="s">
        <v>11</v>
      </c>
      <c r="I19" s="8" t="str">
        <f t="shared" si="0"/>
        <v>Finalizado</v>
      </c>
      <c r="J19" s="4" t="b">
        <v>1</v>
      </c>
    </row>
    <row r="20" spans="2:10" ht="15" x14ac:dyDescent="0.3">
      <c r="B20" s="9" t="s">
        <v>33</v>
      </c>
      <c r="C20" s="5" t="s">
        <v>31</v>
      </c>
      <c r="D20" s="7" t="s">
        <v>9</v>
      </c>
      <c r="E20" s="8" t="s">
        <v>13</v>
      </c>
      <c r="F20" s="8">
        <f t="shared" si="2"/>
        <v>3</v>
      </c>
      <c r="G20" s="8">
        <v>1</v>
      </c>
      <c r="H20" s="8" t="s">
        <v>11</v>
      </c>
      <c r="I20" s="8" t="str">
        <f t="shared" si="0"/>
        <v>Finalizado</v>
      </c>
      <c r="J20" s="4" t="b">
        <v>1</v>
      </c>
    </row>
    <row r="21" spans="2:10" ht="15" x14ac:dyDescent="0.3">
      <c r="B21" s="9" t="s">
        <v>70</v>
      </c>
      <c r="C21" s="5" t="s">
        <v>69</v>
      </c>
      <c r="D21" s="7" t="s">
        <v>23</v>
      </c>
      <c r="E21" s="8" t="s">
        <v>15</v>
      </c>
      <c r="F21" s="8">
        <f t="shared" si="2"/>
        <v>13</v>
      </c>
      <c r="G21" s="8">
        <v>2</v>
      </c>
      <c r="H21" s="8" t="s">
        <v>27</v>
      </c>
      <c r="I21" s="8" t="str">
        <f t="shared" si="0"/>
        <v>Finalizado</v>
      </c>
      <c r="J21" s="4" t="b">
        <v>1</v>
      </c>
    </row>
    <row r="22" spans="2:10" ht="15" x14ac:dyDescent="0.3">
      <c r="B22" s="9" t="s">
        <v>71</v>
      </c>
      <c r="C22" s="5" t="s">
        <v>72</v>
      </c>
      <c r="D22" s="7" t="s">
        <v>23</v>
      </c>
      <c r="E22" s="8" t="s">
        <v>15</v>
      </c>
      <c r="F22" s="8">
        <f t="shared" si="2"/>
        <v>13</v>
      </c>
      <c r="G22" s="17">
        <v>2</v>
      </c>
      <c r="H22" s="17" t="s">
        <v>27</v>
      </c>
      <c r="I22" s="8" t="str">
        <f t="shared" si="0"/>
        <v>Finalizado</v>
      </c>
      <c r="J22" s="4" t="b">
        <v>1</v>
      </c>
    </row>
    <row r="23" spans="2:10" ht="15" x14ac:dyDescent="0.3">
      <c r="B23" s="5" t="s">
        <v>17</v>
      </c>
      <c r="C23" s="5" t="s">
        <v>53</v>
      </c>
      <c r="D23" s="7" t="s">
        <v>9</v>
      </c>
      <c r="E23" s="8" t="s">
        <v>15</v>
      </c>
      <c r="F23" s="8">
        <f t="shared" si="2"/>
        <v>13</v>
      </c>
      <c r="G23" s="8">
        <v>1</v>
      </c>
      <c r="H23" s="8" t="s">
        <v>18</v>
      </c>
      <c r="I23" s="8" t="str">
        <f t="shared" si="0"/>
        <v>Finalizado</v>
      </c>
      <c r="J23" s="4" t="b">
        <v>1</v>
      </c>
    </row>
    <row r="24" spans="2:10" ht="28.8" customHeight="1" x14ac:dyDescent="0.3">
      <c r="B24" s="5" t="s">
        <v>24</v>
      </c>
      <c r="C24" s="5" t="s">
        <v>52</v>
      </c>
      <c r="D24" s="7" t="s">
        <v>9</v>
      </c>
      <c r="E24" s="8" t="s">
        <v>15</v>
      </c>
      <c r="F24" s="8">
        <f t="shared" si="2"/>
        <v>13</v>
      </c>
      <c r="G24" s="8">
        <v>2</v>
      </c>
      <c r="H24" s="8" t="s">
        <v>27</v>
      </c>
      <c r="I24" s="8" t="str">
        <f t="shared" si="0"/>
        <v>Em andamento</v>
      </c>
      <c r="J24" s="4" t="b">
        <v>0</v>
      </c>
    </row>
    <row r="25" spans="2:10" ht="15" x14ac:dyDescent="0.3">
      <c r="B25" s="18" t="s">
        <v>65</v>
      </c>
      <c r="C25" s="19" t="s">
        <v>66</v>
      </c>
      <c r="D25" s="19" t="s">
        <v>9</v>
      </c>
      <c r="E25" s="19" t="s">
        <v>13</v>
      </c>
      <c r="F25" s="19">
        <v>3</v>
      </c>
      <c r="G25" s="19">
        <v>3</v>
      </c>
      <c r="H25" s="19" t="s">
        <v>27</v>
      </c>
      <c r="I25" s="19" t="s">
        <v>73</v>
      </c>
      <c r="J25" s="4" t="b">
        <v>0</v>
      </c>
    </row>
    <row r="26" spans="2:10" ht="15" x14ac:dyDescent="0.3">
      <c r="B26" s="18" t="s">
        <v>67</v>
      </c>
      <c r="C26" s="19" t="s">
        <v>68</v>
      </c>
      <c r="D26" s="19" t="s">
        <v>9</v>
      </c>
      <c r="E26" s="19" t="s">
        <v>16</v>
      </c>
      <c r="F26" s="19">
        <v>21</v>
      </c>
      <c r="G26" s="19">
        <v>1</v>
      </c>
      <c r="H26" s="19" t="s">
        <v>27</v>
      </c>
      <c r="I26" s="19" t="s">
        <v>73</v>
      </c>
      <c r="J26" s="4" t="b">
        <v>0</v>
      </c>
    </row>
    <row r="27" spans="2:10" x14ac:dyDescent="0.3">
      <c r="B27" s="2"/>
    </row>
    <row r="30" spans="2:10" x14ac:dyDescent="0.3">
      <c r="B30" s="2"/>
    </row>
    <row r="33" spans="2:2" x14ac:dyDescent="0.3">
      <c r="B33" s="2"/>
    </row>
    <row r="36" spans="2:2" x14ac:dyDescent="0.3">
      <c r="B36" s="2"/>
    </row>
  </sheetData>
  <phoneticPr fontId="4" type="noConversion"/>
  <conditionalFormatting sqref="B11:B12">
    <cfRule type="expression" dxfId="21" priority="123">
      <formula>$J11=TRUE</formula>
    </cfRule>
    <cfRule type="expression" dxfId="20" priority="122">
      <formula>$I11="Em andamento"</formula>
    </cfRule>
    <cfRule type="expression" dxfId="19" priority="121">
      <formula>$I11="Planejado"</formula>
    </cfRule>
  </conditionalFormatting>
  <conditionalFormatting sqref="B4:C5">
    <cfRule type="expression" dxfId="18" priority="149">
      <formula>$I4="Planejado"</formula>
    </cfRule>
  </conditionalFormatting>
  <conditionalFormatting sqref="B8:C10 D8:H14 B13:C14">
    <cfRule type="expression" dxfId="17" priority="132">
      <formula>$J8=TRUE</formula>
    </cfRule>
    <cfRule type="expression" dxfId="16" priority="131">
      <formula>$I8="Em andamento"</formula>
    </cfRule>
    <cfRule type="expression" dxfId="15" priority="130">
      <formula>$I8="Planejado"</formula>
    </cfRule>
  </conditionalFormatting>
  <conditionalFormatting sqref="B11:C12">
    <cfRule type="expression" dxfId="14" priority="119">
      <formula>$J11=TRUE</formula>
    </cfRule>
  </conditionalFormatting>
  <conditionalFormatting sqref="B3:H3 I3:I24">
    <cfRule type="expression" dxfId="13" priority="160">
      <formula>$J3=TRUE</formula>
    </cfRule>
  </conditionalFormatting>
  <conditionalFormatting sqref="B5:H7 D4:H4">
    <cfRule type="expression" dxfId="12" priority="152">
      <formula>$I4="Planejado"</formula>
    </cfRule>
  </conditionalFormatting>
  <conditionalFormatting sqref="B15:H24">
    <cfRule type="expression" dxfId="11" priority="2">
      <formula>$I15="Em andamento"</formula>
    </cfRule>
    <cfRule type="expression" dxfId="10" priority="3">
      <formula>$J15=TRUE</formula>
    </cfRule>
    <cfRule type="expression" dxfId="9" priority="1">
      <formula>$I15="Planejado"</formula>
    </cfRule>
  </conditionalFormatting>
  <conditionalFormatting sqref="B3:I3 I4:I24">
    <cfRule type="expression" dxfId="8" priority="158">
      <formula>$I3="Planejado"</formula>
    </cfRule>
    <cfRule type="expression" dxfId="7" priority="159">
      <formula>$I3="Em andamento"</formula>
    </cfRule>
  </conditionalFormatting>
  <conditionalFormatting sqref="C4:C5">
    <cfRule type="expression" dxfId="6" priority="150">
      <formula>$I4="Em andamento"</formula>
    </cfRule>
    <cfRule type="expression" dxfId="5" priority="151">
      <formula>$J4=TRUE</formula>
    </cfRule>
  </conditionalFormatting>
  <conditionalFormatting sqref="C11:C12">
    <cfRule type="expression" dxfId="4" priority="117">
      <formula>$I11="Planejado"</formula>
    </cfRule>
    <cfRule type="expression" dxfId="3" priority="116">
      <formula>$J11=TRUE</formula>
    </cfRule>
    <cfRule type="expression" dxfId="2" priority="118">
      <formula>$I11="Em andamento"</formula>
    </cfRule>
  </conditionalFormatting>
  <conditionalFormatting sqref="D4:H4 B4:B5 B5:H7">
    <cfRule type="expression" dxfId="1" priority="153">
      <formula>$I4="Em andamento"</formula>
    </cfRule>
    <cfRule type="expression" dxfId="0" priority="154">
      <formula>$J4=TRUE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IADA DO NASCIMENTO .</dc:creator>
  <cp:lastModifiedBy>Luan Nascimento</cp:lastModifiedBy>
  <dcterms:created xsi:type="dcterms:W3CDTF">2025-11-08T14:18:40Z</dcterms:created>
  <dcterms:modified xsi:type="dcterms:W3CDTF">2025-11-23T23:33:29Z</dcterms:modified>
</cp:coreProperties>
</file>